
<file path=[Content_Types].xml><?xml version="1.0" encoding="utf-8"?>
<Types xmlns="http://schemas.openxmlformats.org/package/2006/content-types">
  <Default Extension="tmp" ContentType="image/png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gabri\OneDrive\Documentos\"/>
    </mc:Choice>
  </mc:AlternateContent>
  <bookViews>
    <workbookView xWindow="0" yWindow="0" windowWidth="9990" windowHeight="3450" tabRatio="347" activeTab="2"/>
  </bookViews>
  <sheets>
    <sheet name="TITULAR" sheetId="1" r:id="rId1"/>
    <sheet name="INFORMES" sheetId="6" r:id="rId2"/>
    <sheet name="NOTAS" sheetId="7" r:id="rId3"/>
    <sheet name="Tabelas" sheetId="8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9" i="7" l="1"/>
  <c r="V8" i="7"/>
  <c r="V7" i="7"/>
  <c r="C7" i="6"/>
</calcChain>
</file>

<file path=xl/sharedStrings.xml><?xml version="1.0" encoding="utf-8"?>
<sst xmlns="http://schemas.openxmlformats.org/spreadsheetml/2006/main" count="130" uniqueCount="94">
  <si>
    <t>NOME</t>
  </si>
  <si>
    <t>CPF</t>
  </si>
  <si>
    <t>NASCIMENTO</t>
  </si>
  <si>
    <t>TÍTULO DE ELEITOR</t>
  </si>
  <si>
    <t>RUA</t>
  </si>
  <si>
    <t>CÔNJUGE</t>
  </si>
  <si>
    <t>RUA ABREVIADA</t>
  </si>
  <si>
    <t>CEP</t>
  </si>
  <si>
    <t>TELEFONE</t>
  </si>
  <si>
    <t>CELULAR</t>
  </si>
  <si>
    <t>E-MAIL</t>
  </si>
  <si>
    <t>HOUVE ALTERAÇÕES DA ENTREGA ANTERIOR</t>
  </si>
  <si>
    <t>TEM DEPENDENTE CÔNJUGE</t>
  </si>
  <si>
    <t>TEM RESIDENTE NO EXTERIOR</t>
  </si>
  <si>
    <t>1. DADOS DO CLIENTE</t>
  </si>
  <si>
    <t>preencha os dados da sua pessoa física abaixo</t>
  </si>
  <si>
    <t xml:space="preserve">Gabriella Schualder </t>
  </si>
  <si>
    <t>gabriella@rj.com</t>
  </si>
  <si>
    <t>Rua laranjeiras, L., Nº 001</t>
  </si>
  <si>
    <t>Rua laranjeiras, Lima., Nº 001</t>
  </si>
  <si>
    <t>João Feijão</t>
  </si>
  <si>
    <t>Não</t>
  </si>
  <si>
    <t>Sim</t>
  </si>
  <si>
    <t>2. INFORMES DE RENDIMENTOS BANCÁRIOS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</si>
  <si>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</si>
  <si>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</si>
  <si>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</si>
  <si>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</si>
  <si>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</si>
  <si>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</si>
  <si>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</si>
  <si>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</si>
  <si>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</si>
  <si>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</si>
  <si>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</si>
  <si>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</si>
  <si>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</si>
  <si>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</si>
  <si>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</si>
  <si>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</si>
  <si>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</si>
  <si>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</si>
  <si>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</si>
  <si>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</si>
  <si>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</si>
  <si>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</si>
  <si>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</si>
  <si>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</si>
  <si>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</si>
  <si>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</si>
  <si>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</si>
  <si>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</si>
  <si>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</si>
  <si>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</si>
  <si>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</si>
  <si>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</si>
  <si>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</si>
  <si>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</si>
  <si>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</si>
  <si>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</si>
  <si>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</si>
  <si>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</si>
  <si>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</si>
  <si>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</si>
  <si>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</si>
  <si>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</si>
  <si>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</si>
  <si>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</si>
  <si>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</si>
  <si>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</si>
  <si>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</si>
  <si>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</si>
  <si>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</si>
  <si>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</si>
  <si>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</si>
  <si>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</si>
  <si>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</si>
  <si>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</si>
  <si>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</si>
  <si>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imposto_2026.pdf</t>
  </si>
  <si>
    <t>1º Banco</t>
  </si>
  <si>
    <t>2º Banco</t>
  </si>
  <si>
    <t>3º Banco</t>
  </si>
  <si>
    <t>TOTAL</t>
  </si>
  <si>
    <t>3. NOTAS BANCÁRIAS OU EXTRATO DE HOLHERITES</t>
  </si>
  <si>
    <t>são todos os valores de entrada mês a mês de receita</t>
  </si>
  <si>
    <t>DATA</t>
  </si>
  <si>
    <t>CATEGORIA</t>
  </si>
  <si>
    <t>VALOR</t>
  </si>
  <si>
    <t>ENTRADAS</t>
  </si>
  <si>
    <t>HOLHEIRITE</t>
  </si>
  <si>
    <t>FREELANCER</t>
  </si>
  <si>
    <t>CNPJ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</si>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</sst>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0" formatCode="000&quot;.&quot;000&quot;.&quot;000&quot;-&quot;00"/>
    <numFmt numFmtId="171" formatCode="00000\-000"/>
    <numFmt numFmtId="172" formatCode="&quot;(&quot;00&quot;)&quot;0000&quot;-&quot;0000"/>
    <numFmt numFmtId="173" formatCode="&quot;(&quot;00&quot;)&quot;00000&quot;-&quot;0000"/>
    <numFmt numFmtId="174" formatCode="&quot;R$&quot;\ #,##0.00"/>
    <numFmt numFmtId="175" formatCode="mmm\-yy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ahnschrift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Bahnschrift"/>
      <family val="2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B050"/>
      </bottom>
      <diagonal/>
    </border>
  </borders>
  <cellStyleXfs count="4">
    <xf numFmtId="0" fontId="0" fillId="0" borderId="0"/>
    <xf numFmtId="0" fontId="1" fillId="0" borderId="3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0" fillId="3" borderId="0" xfId="0" applyFill="1"/>
    <xf numFmtId="0" fontId="3" fillId="0" borderId="0" xfId="0" applyFont="1"/>
    <xf numFmtId="0" fontId="4" fillId="0" borderId="0" xfId="0" applyFont="1"/>
    <xf numFmtId="0" fontId="1" fillId="0" borderId="3" xfId="1"/>
    <xf numFmtId="0" fontId="5" fillId="0" borderId="0" xfId="0" applyFont="1"/>
    <xf numFmtId="0" fontId="11" fillId="0" borderId="0" xfId="0" applyFont="1"/>
    <xf numFmtId="0" fontId="8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3" fillId="5" borderId="0" xfId="0" applyFont="1" applyFill="1"/>
    <xf numFmtId="0" fontId="0" fillId="0" borderId="0" xfId="0" applyAlignment="1">
      <alignment horizontal="center"/>
    </xf>
    <xf numFmtId="174" fontId="2" fillId="2" borderId="0" xfId="2" applyNumberFormat="1" applyAlignment="1">
      <alignment horizontal="center"/>
    </xf>
    <xf numFmtId="0" fontId="2" fillId="2" borderId="0" xfId="2" applyAlignment="1">
      <alignment horizontal="center"/>
    </xf>
    <xf numFmtId="0" fontId="7" fillId="0" borderId="0" xfId="0" applyFont="1"/>
    <xf numFmtId="0" fontId="0" fillId="0" borderId="0" xfId="0" applyAlignment="1">
      <alignment horizontal="center" vertical="center"/>
    </xf>
    <xf numFmtId="0" fontId="12" fillId="6" borderId="0" xfId="0" applyFont="1" applyFill="1" applyAlignment="1">
      <alignment horizontal="center"/>
    </xf>
    <xf numFmtId="174" fontId="0" fillId="0" borderId="0" xfId="0" applyNumberFormat="1"/>
    <xf numFmtId="0" fontId="1" fillId="0" borderId="3" xfId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quotePrefix="1" applyFill="1"/>
    <xf numFmtId="0" fontId="0" fillId="0" borderId="0" xfId="0" applyProtection="1">
      <protection locked="0"/>
    </xf>
    <xf numFmtId="0" fontId="9" fillId="4" borderId="2" xfId="0" applyFont="1" applyFill="1" applyBorder="1" applyAlignment="1" applyProtection="1">
      <alignment horizontal="left"/>
      <protection locked="0"/>
    </xf>
    <xf numFmtId="170" fontId="9" fillId="4" borderId="2" xfId="0" applyNumberFormat="1" applyFont="1" applyFill="1" applyBorder="1" applyAlignment="1" applyProtection="1">
      <alignment horizontal="left"/>
      <protection locked="0"/>
    </xf>
    <xf numFmtId="14" fontId="9" fillId="4" borderId="2" xfId="0" applyNumberFormat="1" applyFont="1" applyFill="1" applyBorder="1" applyAlignment="1" applyProtection="1">
      <alignment horizontal="left"/>
      <protection locked="0"/>
    </xf>
    <xf numFmtId="171" fontId="9" fillId="4" borderId="2" xfId="0" applyNumberFormat="1" applyFont="1" applyFill="1" applyBorder="1" applyAlignment="1" applyProtection="1">
      <alignment horizontal="left"/>
      <protection locked="0"/>
    </xf>
    <xf numFmtId="172" fontId="9" fillId="4" borderId="2" xfId="0" applyNumberFormat="1" applyFont="1" applyFill="1" applyBorder="1" applyAlignment="1" applyProtection="1">
      <alignment horizontal="left"/>
      <protection locked="0"/>
    </xf>
    <xf numFmtId="173" fontId="9" fillId="4" borderId="2" xfId="0" applyNumberFormat="1" applyFont="1" applyFill="1" applyBorder="1" applyAlignment="1" applyProtection="1">
      <alignment horizontal="left"/>
      <protection locked="0"/>
    </xf>
    <xf numFmtId="0" fontId="10" fillId="4" borderId="2" xfId="3" applyFont="1" applyFill="1" applyBorder="1" applyAlignment="1" applyProtection="1">
      <alignment horizontal="left"/>
      <protection locked="0"/>
    </xf>
    <xf numFmtId="174" fontId="9" fillId="4" borderId="2" xfId="0" applyNumberFormat="1" applyFont="1" applyFill="1" applyBorder="1" applyAlignment="1" applyProtection="1">
      <alignment horizontal="left"/>
      <protection locked="0"/>
    </xf>
    <xf numFmtId="175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74" fontId="0" fillId="0" borderId="0" xfId="0" applyNumberFormat="1" applyProtection="1">
      <protection locked="0"/>
    </xf>
  </cellXfs>
  <cellStyles count="4">
    <cellStyle name="Hiperlink" xfId="3" builtinId="8"/>
    <cellStyle name="Neutra" xfId="2" builtinId="28"/>
    <cellStyle name="Normal" xfId="0" builtinId="0"/>
    <cellStyle name="Título 1" xfId="1" builtinId="16" customBuiltin="1"/>
  </cellStyles>
  <dxfs count="5">
    <dxf>
      <protection locked="0" hidden="0"/>
    </dxf>
    <dxf>
      <protection locked="0" hidden="0"/>
    </dxf>
    <dxf>
      <alignment horizontal="center" textRotation="0" wrapText="0" indent="0" justifyLastLine="0" shrinkToFit="0" readingOrder="0"/>
      <protection locked="0" hidden="0"/>
    </dxf>
    <dxf>
      <numFmt numFmtId="175" formatCode="mmm\-yy"/>
      <alignment horizont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B6B6B"/>
      <color rgb="FFD5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Tipo de Entrada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NOTAS!$U$7:$U$9</c:f>
              <c:strCache>
                <c:ptCount val="3"/>
                <c:pt idx="0">
                  <c:v>HOLHEIRITE</c:v>
                </c:pt>
                <c:pt idx="1">
                  <c:v>FREELANCER</c:v>
                </c:pt>
                <c:pt idx="2">
                  <c:v>CNPJ</c:v>
                </c:pt>
              </c:strCache>
            </c:strRef>
          </c:cat>
          <c:val>
            <c:numRef>
              <c:f>NOTAS!$V$7:$V$9</c:f>
              <c:numCache>
                <c:formatCode>"R$"\ #,##0.00</c:formatCode>
                <c:ptCount val="3"/>
                <c:pt idx="0">
                  <c:v>27216</c:v>
                </c:pt>
                <c:pt idx="1">
                  <c:v>21608</c:v>
                </c:pt>
                <c:pt idx="2">
                  <c:v>26639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2959144"/>
        <c:axId val="332958360"/>
      </c:barChart>
      <c:catAx>
        <c:axId val="332959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958360"/>
        <c:crosses val="autoZero"/>
        <c:auto val="1"/>
        <c:lblAlgn val="ctr"/>
        <c:lblOffset val="100"/>
        <c:noMultiLvlLbl val="0"/>
      </c:catAx>
      <c:valAx>
        <c:axId val="33295836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32959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FORMES!A1"/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tmp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gabriellamilhomemgomes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A1"/><Relationship Id="rId3" Type="http://schemas.openxmlformats.org/officeDocument/2006/relationships/hyperlink" Target="#INFORMES!C1"/><Relationship Id="rId7" Type="http://schemas.microsoft.com/office/2007/relationships/hdphoto" Target="../media/hdphoto2.wdp"/><Relationship Id="rId2" Type="http://schemas.openxmlformats.org/officeDocument/2006/relationships/hyperlink" Target="#TITULAR!C1"/><Relationship Id="rId1" Type="http://schemas.openxmlformats.org/officeDocument/2006/relationships/image" Target="../media/image1.tmp"/><Relationship Id="rId6" Type="http://schemas.openxmlformats.org/officeDocument/2006/relationships/image" Target="../media/image3.png"/><Relationship Id="rId5" Type="http://schemas.openxmlformats.org/officeDocument/2006/relationships/hyperlink" Target="http://www.linkedin.com/in/gabriellamilhomemgomes" TargetMode="External"/><Relationship Id="rId4" Type="http://schemas.openxmlformats.org/officeDocument/2006/relationships/hyperlink" Target="#NOTAS!C1"/><Relationship Id="rId9" Type="http://schemas.openxmlformats.org/officeDocument/2006/relationships/hyperlink" Target="#TITULAR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INFORMES!A1"/><Relationship Id="rId3" Type="http://schemas.openxmlformats.org/officeDocument/2006/relationships/hyperlink" Target="#INFORMES!C1"/><Relationship Id="rId7" Type="http://schemas.microsoft.com/office/2007/relationships/hdphoto" Target="../media/hdphoto3.wdp"/><Relationship Id="rId2" Type="http://schemas.openxmlformats.org/officeDocument/2006/relationships/hyperlink" Target="#TITULAR!C1"/><Relationship Id="rId1" Type="http://schemas.openxmlformats.org/officeDocument/2006/relationships/image" Target="../media/image1.tmp"/><Relationship Id="rId6" Type="http://schemas.openxmlformats.org/officeDocument/2006/relationships/image" Target="../media/image4.png"/><Relationship Id="rId5" Type="http://schemas.openxmlformats.org/officeDocument/2006/relationships/hyperlink" Target="http://www.linkedin.com/in/gabriellamilhomemgomes" TargetMode="External"/><Relationship Id="rId4" Type="http://schemas.openxmlformats.org/officeDocument/2006/relationships/hyperlink" Target="#NOTAS!C1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47625</xdr:colOff>
      <xdr:row>0</xdr:row>
      <xdr:rowOff>59530</xdr:rowOff>
    </xdr:from>
    <xdr:to>
      <xdr:col>0</xdr:col>
      <xdr:colOff>2024062</xdr:colOff>
      <xdr:row>2</xdr:row>
      <xdr:rowOff>119061</xdr:rowOff>
    </xdr:to>
    <xdr:sp macro="" textlink="">
      <xdr:nvSpPr>
        <xdr:cNvPr id="3" name="Retângulo 2"/>
        <xdr:cNvSpPr/>
      </xdr:nvSpPr>
      <xdr:spPr>
        <a:xfrm>
          <a:off x="47625" y="59530"/>
          <a:ext cx="1976437" cy="4405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 b="1">
              <a:gradFill flip="none" rotWithShape="1">
                <a:gsLst>
                  <a:gs pos="0">
                    <a:schemeClr val="accent6">
                      <a:lumMod val="67000"/>
                    </a:schemeClr>
                  </a:gs>
                  <a:gs pos="48000">
                    <a:schemeClr val="accent6">
                      <a:lumMod val="97000"/>
                      <a:lumOff val="3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atin typeface="Lucida Console" panose="020B0609040504020204" pitchFamily="49" charset="0"/>
            </a:rPr>
            <a:t>LION INFORME </a:t>
          </a:r>
        </a:p>
      </xdr:txBody>
    </xdr:sp>
    <xdr:clientData/>
  </xdr:twoCellAnchor>
  <xdr:twoCellAnchor editAs="absolute">
    <xdr:from>
      <xdr:col>0</xdr:col>
      <xdr:colOff>357188</xdr:colOff>
      <xdr:row>1</xdr:row>
      <xdr:rowOff>154784</xdr:rowOff>
    </xdr:from>
    <xdr:to>
      <xdr:col>0</xdr:col>
      <xdr:colOff>1689652</xdr:colOff>
      <xdr:row>8</xdr:row>
      <xdr:rowOff>68185</xdr:rowOff>
    </xdr:to>
    <xdr:pic>
      <xdr:nvPicPr>
        <xdr:cNvPr id="4" name="Imagem 3" descr="Recorte de Tela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8" y="345284"/>
          <a:ext cx="1332464" cy="15001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60638</xdr:rowOff>
    </xdr:to>
    <xdr:sp macro="" textlink="">
      <xdr:nvSpPr>
        <xdr:cNvPr id="1026" name="AutoShape 2" descr="Lion Logo, Lion Logo Icon, Lion King, Lion PNG Transparent ..."/>
        <xdr:cNvSpPr>
          <a:spLocks noChangeAspect="1" noChangeArrowheads="1"/>
        </xdr:cNvSpPr>
      </xdr:nvSpPr>
      <xdr:spPr bwMode="auto">
        <a:xfrm>
          <a:off x="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304800</xdr:colOff>
      <xdr:row>22</xdr:row>
      <xdr:rowOff>114300</xdr:rowOff>
    </xdr:to>
    <xdr:sp macro="" textlink="">
      <xdr:nvSpPr>
        <xdr:cNvPr id="1028" name="AutoShape 4" descr="Modern Blue Lion Mascot Logo, Lion Clipart, Blue Clipart, Logo Clipart PNG  Transparent Image and Clipart for Free Download"/>
        <xdr:cNvSpPr>
          <a:spLocks noChangeAspect="1" noChangeArrowheads="1"/>
        </xdr:cNvSpPr>
      </xdr:nvSpPr>
      <xdr:spPr bwMode="auto">
        <a:xfrm>
          <a:off x="7553325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304800</xdr:colOff>
      <xdr:row>22</xdr:row>
      <xdr:rowOff>114300</xdr:rowOff>
    </xdr:to>
    <xdr:sp macro="" textlink="">
      <xdr:nvSpPr>
        <xdr:cNvPr id="1030" name="AutoShape 6" descr="Modern Blue Lion Mascot Logo, Lion Clipart, Blue Clipart, Logo Clipart PNG  Transparent Image and Clipart for Free Download"/>
        <xdr:cNvSpPr>
          <a:spLocks noChangeAspect="1" noChangeArrowheads="1"/>
        </xdr:cNvSpPr>
      </xdr:nvSpPr>
      <xdr:spPr bwMode="auto">
        <a:xfrm>
          <a:off x="7553325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77391</xdr:colOff>
      <xdr:row>10</xdr:row>
      <xdr:rowOff>129628</xdr:rowOff>
    </xdr:from>
    <xdr:to>
      <xdr:col>0</xdr:col>
      <xdr:colOff>1982391</xdr:colOff>
      <xdr:row>12</xdr:row>
      <xdr:rowOff>81835</xdr:rowOff>
    </xdr:to>
    <xdr:sp macro="" textlink="">
      <xdr:nvSpPr>
        <xdr:cNvPr id="5" name="Retângulo de cantos arredondados 4">
          <a:hlinkClick xmlns:r="http://schemas.openxmlformats.org/officeDocument/2006/relationships" r:id="rId2"/>
        </xdr:cNvPr>
        <xdr:cNvSpPr/>
      </xdr:nvSpPr>
      <xdr:spPr>
        <a:xfrm>
          <a:off x="77391" y="2321719"/>
          <a:ext cx="1905000" cy="440531"/>
        </a:xfrm>
        <a:prstGeom prst="roundRect">
          <a:avLst/>
        </a:prstGeom>
        <a:solidFill>
          <a:srgbClr val="6B6B6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77391</xdr:colOff>
      <xdr:row>13</xdr:row>
      <xdr:rowOff>69844</xdr:rowOff>
    </xdr:from>
    <xdr:to>
      <xdr:col>0</xdr:col>
      <xdr:colOff>1982391</xdr:colOff>
      <xdr:row>15</xdr:row>
      <xdr:rowOff>19368</xdr:rowOff>
    </xdr:to>
    <xdr:sp macro="" textlink="">
      <xdr:nvSpPr>
        <xdr:cNvPr id="11" name="Retângulo de cantos arredondados 10">
          <a:hlinkClick xmlns:r="http://schemas.openxmlformats.org/officeDocument/2006/relationships" r:id="rId3"/>
        </xdr:cNvPr>
        <xdr:cNvSpPr/>
      </xdr:nvSpPr>
      <xdr:spPr>
        <a:xfrm>
          <a:off x="77391" y="2994422"/>
          <a:ext cx="1905000" cy="44053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77391</xdr:colOff>
      <xdr:row>16</xdr:row>
      <xdr:rowOff>7378</xdr:rowOff>
    </xdr:from>
    <xdr:to>
      <xdr:col>0</xdr:col>
      <xdr:colOff>1982391</xdr:colOff>
      <xdr:row>17</xdr:row>
      <xdr:rowOff>201065</xdr:rowOff>
    </xdr:to>
    <xdr:sp macro="" textlink="">
      <xdr:nvSpPr>
        <xdr:cNvPr id="12" name="Retângulo de cantos arredondados 11">
          <a:hlinkClick xmlns:r="http://schemas.openxmlformats.org/officeDocument/2006/relationships" r:id="rId4"/>
        </xdr:cNvPr>
        <xdr:cNvSpPr/>
      </xdr:nvSpPr>
      <xdr:spPr>
        <a:xfrm>
          <a:off x="77391" y="3667125"/>
          <a:ext cx="1905000" cy="44053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173182</xdr:colOff>
      <xdr:row>20</xdr:row>
      <xdr:rowOff>186770</xdr:rowOff>
    </xdr:from>
    <xdr:to>
      <xdr:col>0</xdr:col>
      <xdr:colOff>1781299</xdr:colOff>
      <xdr:row>23</xdr:row>
      <xdr:rowOff>85545</xdr:rowOff>
    </xdr:to>
    <xdr:sp macro="" textlink="">
      <xdr:nvSpPr>
        <xdr:cNvPr id="6" name="Retângulo de cantos arredondados 5"/>
        <xdr:cNvSpPr/>
      </xdr:nvSpPr>
      <xdr:spPr>
        <a:xfrm>
          <a:off x="173182" y="4651168"/>
          <a:ext cx="1608117" cy="45769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chemeClr val="tx1"/>
              </a:solidFill>
            </a:rPr>
            <a:t>SYSTEM</a:t>
          </a:r>
          <a:r>
            <a:rPr lang="pt-BR" sz="1400" baseline="0">
              <a:solidFill>
                <a:schemeClr val="tx1"/>
              </a:solidFill>
            </a:rPr>
            <a:t> BY DIO 💻</a:t>
          </a:r>
          <a:endParaRPr lang="pt-BR" sz="14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173182</xdr:colOff>
      <xdr:row>19</xdr:row>
      <xdr:rowOff>97916</xdr:rowOff>
    </xdr:from>
    <xdr:to>
      <xdr:col>0</xdr:col>
      <xdr:colOff>1830779</xdr:colOff>
      <xdr:row>19</xdr:row>
      <xdr:rowOff>97916</xdr:rowOff>
    </xdr:to>
    <xdr:cxnSp macro="">
      <xdr:nvCxnSpPr>
        <xdr:cNvPr id="13" name="Conector reto 12"/>
        <xdr:cNvCxnSpPr/>
      </xdr:nvCxnSpPr>
      <xdr:spPr>
        <a:xfrm>
          <a:off x="173182" y="4379026"/>
          <a:ext cx="1657597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606138</xdr:colOff>
      <xdr:row>24</xdr:row>
      <xdr:rowOff>48433</xdr:rowOff>
    </xdr:from>
    <xdr:to>
      <xdr:col>0</xdr:col>
      <xdr:colOff>1171774</xdr:colOff>
      <xdr:row>26</xdr:row>
      <xdr:rowOff>186773</xdr:rowOff>
    </xdr:to>
    <xdr:pic>
      <xdr:nvPicPr>
        <xdr:cNvPr id="17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138" y="5257304"/>
          <a:ext cx="565636" cy="507177"/>
        </a:xfrm>
        <a:prstGeom prst="rect">
          <a:avLst/>
        </a:prstGeom>
      </xdr:spPr>
    </xdr:pic>
    <xdr:clientData/>
  </xdr:twoCellAnchor>
  <xdr:twoCellAnchor editAs="absolute">
    <xdr:from>
      <xdr:col>2</xdr:col>
      <xdr:colOff>3867150</xdr:colOff>
      <xdr:row>20</xdr:row>
      <xdr:rowOff>25400</xdr:rowOff>
    </xdr:from>
    <xdr:to>
      <xdr:col>3</xdr:col>
      <xdr:colOff>2593975</xdr:colOff>
      <xdr:row>22</xdr:row>
      <xdr:rowOff>25400</xdr:rowOff>
    </xdr:to>
    <xdr:sp macro="" textlink="">
      <xdr:nvSpPr>
        <xdr:cNvPr id="18" name="Retângulo 17">
          <a:hlinkClick xmlns:r="http://schemas.openxmlformats.org/officeDocument/2006/relationships" r:id="rId8"/>
        </xdr:cNvPr>
        <xdr:cNvSpPr/>
      </xdr:nvSpPr>
      <xdr:spPr>
        <a:xfrm>
          <a:off x="5854700" y="3911600"/>
          <a:ext cx="2590800" cy="381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bg1"/>
              </a:solidFill>
            </a:rPr>
            <a:t>PRÓXIMO ➡️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47625</xdr:colOff>
      <xdr:row>0</xdr:row>
      <xdr:rowOff>59530</xdr:rowOff>
    </xdr:from>
    <xdr:to>
      <xdr:col>0</xdr:col>
      <xdr:colOff>2024062</xdr:colOff>
      <xdr:row>2</xdr:row>
      <xdr:rowOff>119061</xdr:rowOff>
    </xdr:to>
    <xdr:sp macro="" textlink="">
      <xdr:nvSpPr>
        <xdr:cNvPr id="2" name="Retângulo 1"/>
        <xdr:cNvSpPr/>
      </xdr:nvSpPr>
      <xdr:spPr>
        <a:xfrm>
          <a:off x="47625" y="59530"/>
          <a:ext cx="1976437" cy="4405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 b="1">
              <a:gradFill flip="none" rotWithShape="1">
                <a:gsLst>
                  <a:gs pos="0">
                    <a:schemeClr val="accent6">
                      <a:lumMod val="67000"/>
                    </a:schemeClr>
                  </a:gs>
                  <a:gs pos="48000">
                    <a:schemeClr val="accent6">
                      <a:lumMod val="97000"/>
                      <a:lumOff val="3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atin typeface="Lucida Console" panose="020B0609040504020204" pitchFamily="49" charset="0"/>
            </a:rPr>
            <a:t>LION INFORME </a:t>
          </a:r>
        </a:p>
      </xdr:txBody>
    </xdr:sp>
    <xdr:clientData/>
  </xdr:twoCellAnchor>
  <xdr:twoCellAnchor editAs="absolute">
    <xdr:from>
      <xdr:col>0</xdr:col>
      <xdr:colOff>357188</xdr:colOff>
      <xdr:row>1</xdr:row>
      <xdr:rowOff>154784</xdr:rowOff>
    </xdr:from>
    <xdr:to>
      <xdr:col>0</xdr:col>
      <xdr:colOff>1689652</xdr:colOff>
      <xdr:row>9</xdr:row>
      <xdr:rowOff>39154</xdr:rowOff>
    </xdr:to>
    <xdr:pic>
      <xdr:nvPicPr>
        <xdr:cNvPr id="3" name="Imagem 2" descr="Recorte de Tela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8" y="345284"/>
          <a:ext cx="1332464" cy="15001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65032</xdr:rowOff>
    </xdr:to>
    <xdr:sp macro="" textlink="">
      <xdr:nvSpPr>
        <xdr:cNvPr id="4" name="AutoShape 2" descr="Lion Logo, Lion Logo Icon, Lion King, Lion PNG Transparent ..."/>
        <xdr:cNvSpPr>
          <a:spLocks noChangeAspect="1" noChangeArrowheads="1"/>
        </xdr:cNvSpPr>
      </xdr:nvSpPr>
      <xdr:spPr bwMode="auto">
        <a:xfrm>
          <a:off x="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304800</xdr:colOff>
      <xdr:row>21</xdr:row>
      <xdr:rowOff>71004</xdr:rowOff>
    </xdr:to>
    <xdr:sp macro="" textlink="">
      <xdr:nvSpPr>
        <xdr:cNvPr id="5" name="AutoShape 4" descr="Modern Blue Lion Mascot Logo, Lion Clipart, Blue Clipart, Logo Clipart PNG  Transparent Image and Clipart for Free Download"/>
        <xdr:cNvSpPr>
          <a:spLocks noChangeAspect="1" noChangeArrowheads="1"/>
        </xdr:cNvSpPr>
      </xdr:nvSpPr>
      <xdr:spPr bwMode="auto">
        <a:xfrm>
          <a:off x="7553325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304800</xdr:colOff>
      <xdr:row>21</xdr:row>
      <xdr:rowOff>71004</xdr:rowOff>
    </xdr:to>
    <xdr:sp macro="" textlink="">
      <xdr:nvSpPr>
        <xdr:cNvPr id="6" name="AutoShape 6" descr="Modern Blue Lion Mascot Logo, Lion Clipart, Blue Clipart, Logo Clipart PNG  Transparent Image and Clipart for Free Download"/>
        <xdr:cNvSpPr>
          <a:spLocks noChangeAspect="1" noChangeArrowheads="1"/>
        </xdr:cNvSpPr>
      </xdr:nvSpPr>
      <xdr:spPr bwMode="auto">
        <a:xfrm>
          <a:off x="7553325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77391</xdr:colOff>
      <xdr:row>11</xdr:row>
      <xdr:rowOff>46170</xdr:rowOff>
    </xdr:from>
    <xdr:to>
      <xdr:col>0</xdr:col>
      <xdr:colOff>1982391</xdr:colOff>
      <xdr:row>13</xdr:row>
      <xdr:rowOff>58673</xdr:rowOff>
    </xdr:to>
    <xdr:sp macro="" textlink="">
      <xdr:nvSpPr>
        <xdr:cNvPr id="7" name="Retângulo de cantos arredondados 6">
          <a:hlinkClick xmlns:r="http://schemas.openxmlformats.org/officeDocument/2006/relationships" r:id="rId2"/>
        </xdr:cNvPr>
        <xdr:cNvSpPr/>
      </xdr:nvSpPr>
      <xdr:spPr>
        <a:xfrm>
          <a:off x="77391" y="2321719"/>
          <a:ext cx="1905000" cy="44053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77391</xdr:colOff>
      <xdr:row>14</xdr:row>
      <xdr:rowOff>94372</xdr:rowOff>
    </xdr:from>
    <xdr:to>
      <xdr:col>0</xdr:col>
      <xdr:colOff>1982391</xdr:colOff>
      <xdr:row>16</xdr:row>
      <xdr:rowOff>65670</xdr:rowOff>
    </xdr:to>
    <xdr:sp macro="" textlink="">
      <xdr:nvSpPr>
        <xdr:cNvPr id="8" name="Retângulo de cantos arredondados 7">
          <a:hlinkClick xmlns:r="http://schemas.openxmlformats.org/officeDocument/2006/relationships" r:id="rId3"/>
        </xdr:cNvPr>
        <xdr:cNvSpPr/>
      </xdr:nvSpPr>
      <xdr:spPr>
        <a:xfrm>
          <a:off x="77391" y="2994422"/>
          <a:ext cx="1905000" cy="440531"/>
        </a:xfrm>
        <a:prstGeom prst="roundRect">
          <a:avLst/>
        </a:prstGeom>
        <a:solidFill>
          <a:srgbClr val="6B6B6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77391</xdr:colOff>
      <xdr:row>17</xdr:row>
      <xdr:rowOff>58075</xdr:rowOff>
    </xdr:from>
    <xdr:to>
      <xdr:col>0</xdr:col>
      <xdr:colOff>1982391</xdr:colOff>
      <xdr:row>19</xdr:row>
      <xdr:rowOff>113874</xdr:rowOff>
    </xdr:to>
    <xdr:sp macro="" textlink="">
      <xdr:nvSpPr>
        <xdr:cNvPr id="9" name="Retângulo de cantos arredondados 8">
          <a:hlinkClick xmlns:r="http://schemas.openxmlformats.org/officeDocument/2006/relationships" r:id="rId4"/>
        </xdr:cNvPr>
        <xdr:cNvSpPr/>
      </xdr:nvSpPr>
      <xdr:spPr>
        <a:xfrm>
          <a:off x="77391" y="3667125"/>
          <a:ext cx="1905000" cy="44053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173182</xdr:colOff>
      <xdr:row>22</xdr:row>
      <xdr:rowOff>78059</xdr:rowOff>
    </xdr:from>
    <xdr:to>
      <xdr:col>0</xdr:col>
      <xdr:colOff>1781299</xdr:colOff>
      <xdr:row>24</xdr:row>
      <xdr:rowOff>164651</xdr:rowOff>
    </xdr:to>
    <xdr:sp macro="" textlink="">
      <xdr:nvSpPr>
        <xdr:cNvPr id="10" name="Retângulo de cantos arredondados 9"/>
        <xdr:cNvSpPr/>
      </xdr:nvSpPr>
      <xdr:spPr>
        <a:xfrm>
          <a:off x="173182" y="4774869"/>
          <a:ext cx="1608117" cy="46759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chemeClr val="tx1"/>
              </a:solidFill>
            </a:rPr>
            <a:t>SYSTEM</a:t>
          </a:r>
          <a:r>
            <a:rPr lang="pt-BR" sz="1400" baseline="0">
              <a:solidFill>
                <a:schemeClr val="tx1"/>
              </a:solidFill>
            </a:rPr>
            <a:t> BY DIO 💻</a:t>
          </a:r>
          <a:endParaRPr lang="pt-BR" sz="14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173182</xdr:colOff>
      <xdr:row>21</xdr:row>
      <xdr:rowOff>25486</xdr:rowOff>
    </xdr:from>
    <xdr:to>
      <xdr:col>0</xdr:col>
      <xdr:colOff>1830779</xdr:colOff>
      <xdr:row>21</xdr:row>
      <xdr:rowOff>25486</xdr:rowOff>
    </xdr:to>
    <xdr:cxnSp macro="">
      <xdr:nvCxnSpPr>
        <xdr:cNvPr id="11" name="Conector reto 10"/>
        <xdr:cNvCxnSpPr/>
      </xdr:nvCxnSpPr>
      <xdr:spPr>
        <a:xfrm>
          <a:off x="173182" y="4492831"/>
          <a:ext cx="1657597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606136</xdr:colOff>
      <xdr:row>25</xdr:row>
      <xdr:rowOff>102800</xdr:rowOff>
    </xdr:from>
    <xdr:to>
      <xdr:col>0</xdr:col>
      <xdr:colOff>1171772</xdr:colOff>
      <xdr:row>28</xdr:row>
      <xdr:rowOff>41805</xdr:rowOff>
    </xdr:to>
    <xdr:pic>
      <xdr:nvPicPr>
        <xdr:cNvPr id="12" name="Imagem 11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136" y="5232565"/>
          <a:ext cx="565636" cy="507177"/>
        </a:xfrm>
        <a:prstGeom prst="rect">
          <a:avLst/>
        </a:prstGeom>
      </xdr:spPr>
    </xdr:pic>
    <xdr:clientData/>
  </xdr:twoCellAnchor>
  <xdr:twoCellAnchor editAs="absolute">
    <xdr:from>
      <xdr:col>3</xdr:col>
      <xdr:colOff>86591</xdr:colOff>
      <xdr:row>23</xdr:row>
      <xdr:rowOff>43295</xdr:rowOff>
    </xdr:from>
    <xdr:to>
      <xdr:col>3</xdr:col>
      <xdr:colOff>2686916</xdr:colOff>
      <xdr:row>25</xdr:row>
      <xdr:rowOff>34636</xdr:rowOff>
    </xdr:to>
    <xdr:sp macro="" textlink="">
      <xdr:nvSpPr>
        <xdr:cNvPr id="13" name="Retângulo 12">
          <a:hlinkClick xmlns:r="http://schemas.openxmlformats.org/officeDocument/2006/relationships" r:id="rId8"/>
        </xdr:cNvPr>
        <xdr:cNvSpPr/>
      </xdr:nvSpPr>
      <xdr:spPr>
        <a:xfrm>
          <a:off x="6624205" y="5000625"/>
          <a:ext cx="2600325" cy="381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bg1"/>
              </a:solidFill>
            </a:rPr>
            <a:t>PRÓXIMO ➡️</a:t>
          </a:r>
        </a:p>
      </xdr:txBody>
    </xdr:sp>
    <xdr:clientData/>
  </xdr:twoCellAnchor>
  <xdr:twoCellAnchor editAs="absolute">
    <xdr:from>
      <xdr:col>2</xdr:col>
      <xdr:colOff>1190627</xdr:colOff>
      <xdr:row>23</xdr:row>
      <xdr:rowOff>43295</xdr:rowOff>
    </xdr:from>
    <xdr:to>
      <xdr:col>2</xdr:col>
      <xdr:colOff>3790952</xdr:colOff>
      <xdr:row>25</xdr:row>
      <xdr:rowOff>34636</xdr:rowOff>
    </xdr:to>
    <xdr:sp macro="" textlink="">
      <xdr:nvSpPr>
        <xdr:cNvPr id="14" name="Retângulo 13">
          <a:hlinkClick xmlns:r="http://schemas.openxmlformats.org/officeDocument/2006/relationships" r:id="rId9"/>
        </xdr:cNvPr>
        <xdr:cNvSpPr/>
      </xdr:nvSpPr>
      <xdr:spPr>
        <a:xfrm>
          <a:off x="3853297" y="5000625"/>
          <a:ext cx="2600325" cy="381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bg1"/>
              </a:solidFill>
            </a:rPr>
            <a:t>⬅️ ANTERIOR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47625</xdr:colOff>
      <xdr:row>0</xdr:row>
      <xdr:rowOff>59530</xdr:rowOff>
    </xdr:from>
    <xdr:to>
      <xdr:col>0</xdr:col>
      <xdr:colOff>2024062</xdr:colOff>
      <xdr:row>2</xdr:row>
      <xdr:rowOff>119061</xdr:rowOff>
    </xdr:to>
    <xdr:sp macro="" textlink="">
      <xdr:nvSpPr>
        <xdr:cNvPr id="2" name="Retângulo 1"/>
        <xdr:cNvSpPr/>
      </xdr:nvSpPr>
      <xdr:spPr>
        <a:xfrm>
          <a:off x="47625" y="59530"/>
          <a:ext cx="1976437" cy="4405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 b="1">
              <a:gradFill flip="none" rotWithShape="1">
                <a:gsLst>
                  <a:gs pos="0">
                    <a:schemeClr val="accent6">
                      <a:lumMod val="67000"/>
                    </a:schemeClr>
                  </a:gs>
                  <a:gs pos="48000">
                    <a:schemeClr val="accent6">
                      <a:lumMod val="97000"/>
                      <a:lumOff val="3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atin typeface="Lucida Console" panose="020B0609040504020204" pitchFamily="49" charset="0"/>
            </a:rPr>
            <a:t>LION INFORME </a:t>
          </a:r>
        </a:p>
      </xdr:txBody>
    </xdr:sp>
    <xdr:clientData/>
  </xdr:twoCellAnchor>
  <xdr:twoCellAnchor editAs="absolute">
    <xdr:from>
      <xdr:col>0</xdr:col>
      <xdr:colOff>357188</xdr:colOff>
      <xdr:row>1</xdr:row>
      <xdr:rowOff>154784</xdr:rowOff>
    </xdr:from>
    <xdr:to>
      <xdr:col>0</xdr:col>
      <xdr:colOff>1689652</xdr:colOff>
      <xdr:row>8</xdr:row>
      <xdr:rowOff>168081</xdr:rowOff>
    </xdr:to>
    <xdr:pic>
      <xdr:nvPicPr>
        <xdr:cNvPr id="3" name="Imagem 2" descr="Recorte de Tela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8" y="345284"/>
          <a:ext cx="1332464" cy="15001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4" name="AutoShape 2" descr="Lion Logo, Lion Logo Icon, Lion King, Lion PNG Transparent ..."/>
        <xdr:cNvSpPr>
          <a:spLocks noChangeAspect="1" noChangeArrowheads="1"/>
        </xdr:cNvSpPr>
      </xdr:nvSpPr>
      <xdr:spPr bwMode="auto">
        <a:xfrm>
          <a:off x="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304800</xdr:colOff>
      <xdr:row>20</xdr:row>
      <xdr:rowOff>114300</xdr:rowOff>
    </xdr:to>
    <xdr:sp macro="" textlink="">
      <xdr:nvSpPr>
        <xdr:cNvPr id="5" name="AutoShape 4" descr="Modern Blue Lion Mascot Logo, Lion Clipart, Blue Clipart, Logo Clipart PNG  Transparent Image and Clipart for Free Download"/>
        <xdr:cNvSpPr>
          <a:spLocks noChangeAspect="1" noChangeArrowheads="1"/>
        </xdr:cNvSpPr>
      </xdr:nvSpPr>
      <xdr:spPr bwMode="auto">
        <a:xfrm>
          <a:off x="7553325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304800</xdr:colOff>
      <xdr:row>20</xdr:row>
      <xdr:rowOff>114300</xdr:rowOff>
    </xdr:to>
    <xdr:sp macro="" textlink="">
      <xdr:nvSpPr>
        <xdr:cNvPr id="6" name="AutoShape 6" descr="Modern Blue Lion Mascot Logo, Lion Clipart, Blue Clipart, Logo Clipart PNG  Transparent Image and Clipart for Free Download"/>
        <xdr:cNvSpPr>
          <a:spLocks noChangeAspect="1" noChangeArrowheads="1"/>
        </xdr:cNvSpPr>
      </xdr:nvSpPr>
      <xdr:spPr bwMode="auto">
        <a:xfrm>
          <a:off x="7553325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77391</xdr:colOff>
      <xdr:row>11</xdr:row>
      <xdr:rowOff>171790</xdr:rowOff>
    </xdr:from>
    <xdr:to>
      <xdr:col>0</xdr:col>
      <xdr:colOff>1982391</xdr:colOff>
      <xdr:row>14</xdr:row>
      <xdr:rowOff>45769</xdr:rowOff>
    </xdr:to>
    <xdr:sp macro="" textlink="">
      <xdr:nvSpPr>
        <xdr:cNvPr id="7" name="Retângulo de cantos arredondados 6">
          <a:hlinkClick xmlns:r="http://schemas.openxmlformats.org/officeDocument/2006/relationships" r:id="rId2"/>
        </xdr:cNvPr>
        <xdr:cNvSpPr/>
      </xdr:nvSpPr>
      <xdr:spPr>
        <a:xfrm>
          <a:off x="77391" y="2321719"/>
          <a:ext cx="1905000" cy="44053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77391</xdr:colOff>
      <xdr:row>15</xdr:row>
      <xdr:rowOff>87441</xdr:rowOff>
    </xdr:from>
    <xdr:to>
      <xdr:col>0</xdr:col>
      <xdr:colOff>1982391</xdr:colOff>
      <xdr:row>17</xdr:row>
      <xdr:rowOff>142024</xdr:rowOff>
    </xdr:to>
    <xdr:sp macro="" textlink="">
      <xdr:nvSpPr>
        <xdr:cNvPr id="8" name="Retângulo de cantos arredondados 7">
          <a:hlinkClick xmlns:r="http://schemas.openxmlformats.org/officeDocument/2006/relationships" r:id="rId3"/>
        </xdr:cNvPr>
        <xdr:cNvSpPr/>
      </xdr:nvSpPr>
      <xdr:spPr>
        <a:xfrm>
          <a:off x="77391" y="2994422"/>
          <a:ext cx="1905000" cy="44053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77391</xdr:colOff>
      <xdr:row>18</xdr:row>
      <xdr:rowOff>183696</xdr:rowOff>
    </xdr:from>
    <xdr:to>
      <xdr:col>0</xdr:col>
      <xdr:colOff>1982391</xdr:colOff>
      <xdr:row>21</xdr:row>
      <xdr:rowOff>57676</xdr:rowOff>
    </xdr:to>
    <xdr:sp macro="" textlink="">
      <xdr:nvSpPr>
        <xdr:cNvPr id="9" name="Retângulo de cantos arredondados 8">
          <a:hlinkClick xmlns:r="http://schemas.openxmlformats.org/officeDocument/2006/relationships" r:id="rId4"/>
        </xdr:cNvPr>
        <xdr:cNvSpPr/>
      </xdr:nvSpPr>
      <xdr:spPr>
        <a:xfrm>
          <a:off x="77391" y="3667125"/>
          <a:ext cx="1905000" cy="440531"/>
        </a:xfrm>
        <a:prstGeom prst="roundRect">
          <a:avLst/>
        </a:prstGeom>
        <a:solidFill>
          <a:srgbClr val="6B6B6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173182</xdr:colOff>
      <xdr:row>24</xdr:row>
      <xdr:rowOff>148441</xdr:rowOff>
    </xdr:from>
    <xdr:to>
      <xdr:col>0</xdr:col>
      <xdr:colOff>1781299</xdr:colOff>
      <xdr:row>27</xdr:row>
      <xdr:rowOff>49481</xdr:rowOff>
    </xdr:to>
    <xdr:sp macro="" textlink="">
      <xdr:nvSpPr>
        <xdr:cNvPr id="10" name="Retângulo de cantos arredondados 9"/>
        <xdr:cNvSpPr/>
      </xdr:nvSpPr>
      <xdr:spPr>
        <a:xfrm>
          <a:off x="173182" y="4774869"/>
          <a:ext cx="1608117" cy="46759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chemeClr val="tx1"/>
              </a:solidFill>
            </a:rPr>
            <a:t>SYSTEM</a:t>
          </a:r>
          <a:r>
            <a:rPr lang="pt-BR" sz="1400" baseline="0">
              <a:solidFill>
                <a:schemeClr val="tx1"/>
              </a:solidFill>
            </a:rPr>
            <a:t> BY DIO 💻</a:t>
          </a:r>
          <a:endParaRPr lang="pt-BR" sz="14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173182</xdr:colOff>
      <xdr:row>23</xdr:row>
      <xdr:rowOff>61851</xdr:rowOff>
    </xdr:from>
    <xdr:to>
      <xdr:col>0</xdr:col>
      <xdr:colOff>1830779</xdr:colOff>
      <xdr:row>23</xdr:row>
      <xdr:rowOff>61851</xdr:rowOff>
    </xdr:to>
    <xdr:cxnSp macro="">
      <xdr:nvCxnSpPr>
        <xdr:cNvPr id="11" name="Conector reto 10"/>
        <xdr:cNvCxnSpPr/>
      </xdr:nvCxnSpPr>
      <xdr:spPr>
        <a:xfrm>
          <a:off x="173182" y="4492831"/>
          <a:ext cx="1657597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618506</xdr:colOff>
      <xdr:row>28</xdr:row>
      <xdr:rowOff>24740</xdr:rowOff>
    </xdr:from>
    <xdr:to>
      <xdr:col>0</xdr:col>
      <xdr:colOff>1184142</xdr:colOff>
      <xdr:row>30</xdr:row>
      <xdr:rowOff>160813</xdr:rowOff>
    </xdr:to>
    <xdr:pic>
      <xdr:nvPicPr>
        <xdr:cNvPr id="12" name="Imagem 11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506" y="5269675"/>
          <a:ext cx="565636" cy="507177"/>
        </a:xfrm>
        <a:prstGeom prst="rect">
          <a:avLst/>
        </a:prstGeom>
      </xdr:spPr>
    </xdr:pic>
    <xdr:clientData/>
  </xdr:twoCellAnchor>
  <xdr:twoCellAnchor editAs="absolute">
    <xdr:from>
      <xdr:col>2</xdr:col>
      <xdr:colOff>3216234</xdr:colOff>
      <xdr:row>31</xdr:row>
      <xdr:rowOff>24740</xdr:rowOff>
    </xdr:from>
    <xdr:to>
      <xdr:col>3</xdr:col>
      <xdr:colOff>1944708</xdr:colOff>
      <xdr:row>33</xdr:row>
      <xdr:rowOff>34636</xdr:rowOff>
    </xdr:to>
    <xdr:sp macro="" textlink="">
      <xdr:nvSpPr>
        <xdr:cNvPr id="14" name="Retângulo 13">
          <a:hlinkClick xmlns:r="http://schemas.openxmlformats.org/officeDocument/2006/relationships" r:id="rId8"/>
        </xdr:cNvPr>
        <xdr:cNvSpPr/>
      </xdr:nvSpPr>
      <xdr:spPr>
        <a:xfrm>
          <a:off x="5888182" y="5925292"/>
          <a:ext cx="2600325" cy="381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bg1"/>
              </a:solidFill>
            </a:rPr>
            <a:t>⬅️ ANTERIOR </a:t>
          </a:r>
        </a:p>
      </xdr:txBody>
    </xdr:sp>
    <xdr:clientData/>
  </xdr:twoCellAnchor>
  <xdr:twoCellAnchor>
    <xdr:from>
      <xdr:col>5</xdr:col>
      <xdr:colOff>226219</xdr:colOff>
      <xdr:row>6</xdr:row>
      <xdr:rowOff>15478</xdr:rowOff>
    </xdr:from>
    <xdr:to>
      <xdr:col>12</xdr:col>
      <xdr:colOff>0</xdr:colOff>
      <xdr:row>20</xdr:row>
      <xdr:rowOff>44053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C8:E30" totalsRowShown="0" headerRowDxfId="4" dataDxfId="0">
  <autoFilter ref="C8:E30"/>
  <sortState ref="C9:E30">
    <sortCondition ref="C8:C30"/>
  </sortState>
  <tableColumns count="3">
    <tableColumn id="1" name="DATA" dataDxfId="3"/>
    <tableColumn id="2" name="CATEGORIA" dataDxfId="2"/>
    <tableColumn id="3" name="VALOR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briella@rj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F21"/>
  <sheetViews>
    <sheetView showGridLines="0" zoomScale="80" zoomScaleNormal="80" workbookViewId="0">
      <selection activeCell="D11" sqref="D11"/>
    </sheetView>
  </sheetViews>
  <sheetFormatPr defaultRowHeight="15" x14ac:dyDescent="0.25"/>
  <cols>
    <col min="1" max="1" width="31" style="1" customWidth="1"/>
    <col min="3" max="3" width="58" style="3" customWidth="1"/>
    <col min="4" max="4" width="58" customWidth="1"/>
  </cols>
  <sheetData>
    <row r="1" spans="1:5" x14ac:dyDescent="0.25">
      <c r="A1" s="20" t="s">
        <v>93</v>
      </c>
    </row>
    <row r="3" spans="1:5" ht="20.25" thickBot="1" x14ac:dyDescent="0.35">
      <c r="C3" s="4" t="s">
        <v>14</v>
      </c>
      <c r="D3" s="4"/>
      <c r="E3" s="4"/>
    </row>
    <row r="4" spans="1:5" ht="16.5" thickTop="1" x14ac:dyDescent="0.25">
      <c r="C4" s="6" t="s">
        <v>15</v>
      </c>
      <c r="D4" s="5"/>
      <c r="E4" s="5"/>
    </row>
    <row r="6" spans="1:5" ht="18.75" x14ac:dyDescent="0.3">
      <c r="C6" s="7" t="s">
        <v>0</v>
      </c>
      <c r="D6" s="22" t="s">
        <v>16</v>
      </c>
    </row>
    <row r="7" spans="1:5" ht="18.75" x14ac:dyDescent="0.3">
      <c r="C7" s="7" t="s">
        <v>1</v>
      </c>
      <c r="D7" s="23">
        <v>12398745600</v>
      </c>
    </row>
    <row r="8" spans="1:5" ht="18.75" x14ac:dyDescent="0.3">
      <c r="C8" s="7" t="s">
        <v>2</v>
      </c>
      <c r="D8" s="24">
        <v>36526</v>
      </c>
    </row>
    <row r="9" spans="1:5" ht="18.75" x14ac:dyDescent="0.3">
      <c r="C9" s="7" t="s">
        <v>3</v>
      </c>
      <c r="D9" s="22">
        <v>1234567</v>
      </c>
    </row>
    <row r="10" spans="1:5" ht="18.75" x14ac:dyDescent="0.3">
      <c r="C10" s="7" t="s">
        <v>5</v>
      </c>
      <c r="D10" s="22" t="s">
        <v>20</v>
      </c>
    </row>
    <row r="11" spans="1:5" ht="18.75" x14ac:dyDescent="0.3">
      <c r="C11" s="7" t="s">
        <v>4</v>
      </c>
      <c r="D11" s="22" t="s">
        <v>19</v>
      </c>
    </row>
    <row r="12" spans="1:5" ht="18.75" x14ac:dyDescent="0.3">
      <c r="C12" s="7" t="s">
        <v>6</v>
      </c>
      <c r="D12" s="22" t="s">
        <v>18</v>
      </c>
    </row>
    <row r="13" spans="1:5" ht="18.75" x14ac:dyDescent="0.3">
      <c r="C13" s="7" t="s">
        <v>7</v>
      </c>
      <c r="D13" s="25">
        <v>98765432</v>
      </c>
    </row>
    <row r="14" spans="1:5" ht="18.75" x14ac:dyDescent="0.3">
      <c r="C14" s="7" t="s">
        <v>8</v>
      </c>
      <c r="D14" s="26">
        <v>2155443322</v>
      </c>
    </row>
    <row r="15" spans="1:5" ht="18.75" x14ac:dyDescent="0.3">
      <c r="C15" s="7" t="s">
        <v>9</v>
      </c>
      <c r="D15" s="27">
        <v>21999887766</v>
      </c>
    </row>
    <row r="16" spans="1:5" ht="18.75" x14ac:dyDescent="0.3">
      <c r="C16" s="7" t="s">
        <v>10</v>
      </c>
      <c r="D16" s="28" t="s">
        <v>17</v>
      </c>
    </row>
    <row r="17" spans="3:6" ht="18.75" x14ac:dyDescent="0.3">
      <c r="C17" s="7" t="s">
        <v>11</v>
      </c>
      <c r="D17" s="22" t="s">
        <v>21</v>
      </c>
    </row>
    <row r="18" spans="3:6" ht="18.75" x14ac:dyDescent="0.3">
      <c r="C18" s="7" t="s">
        <v>12</v>
      </c>
      <c r="D18" s="22" t="s">
        <v>22</v>
      </c>
    </row>
    <row r="19" spans="3:6" ht="18.75" x14ac:dyDescent="0.3">
      <c r="C19" s="7" t="s">
        <v>13</v>
      </c>
      <c r="D19" s="22" t="s">
        <v>22</v>
      </c>
    </row>
    <row r="20" spans="3:6" x14ac:dyDescent="0.25">
      <c r="C20" s="8"/>
    </row>
    <row r="21" spans="3:6" x14ac:dyDescent="0.25">
      <c r="F21" s="21"/>
    </row>
  </sheetData>
  <sheetProtection sheet="1" objects="1" scenarios="1" selectLockedCells="1"/>
  <dataValidations count="1">
    <dataValidation type="list" allowBlank="1" showInputMessage="1" showErrorMessage="1" sqref="D17:D19">
      <formula1>"Sim,Não"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H22"/>
  <sheetViews>
    <sheetView showGridLines="0" zoomScale="80" zoomScaleNormal="80" workbookViewId="0">
      <selection activeCell="D10" sqref="D10"/>
    </sheetView>
  </sheetViews>
  <sheetFormatPr defaultRowHeight="15" x14ac:dyDescent="0.25"/>
  <cols>
    <col min="1" max="1" width="31" style="1" customWidth="1"/>
    <col min="3" max="4" width="58" customWidth="1"/>
  </cols>
  <sheetData>
    <row r="1" spans="1:5" x14ac:dyDescent="0.25">
      <c r="A1" s="20" t="s">
        <v>93</v>
      </c>
    </row>
    <row r="3" spans="1:5" ht="20.25" thickBot="1" x14ac:dyDescent="0.35">
      <c r="C3" s="4" t="s">
        <v>23</v>
      </c>
      <c r="D3" s="4"/>
      <c r="E3" s="4"/>
    </row>
    <row r="4" spans="1:5" ht="16.5" thickTop="1" x14ac:dyDescent="0.25">
      <c r="C4" s="6" t="s">
        <v>24</v>
      </c>
      <c r="D4" s="5"/>
      <c r="E4" s="5"/>
    </row>
    <row r="6" spans="1:5" ht="15.75" x14ac:dyDescent="0.25">
      <c r="C6" s="13" t="s">
        <v>83</v>
      </c>
    </row>
    <row r="7" spans="1:5" x14ac:dyDescent="0.25">
      <c r="C7" s="11">
        <f>SUM(D11,D16,D21)</f>
        <v>700200</v>
      </c>
      <c r="D7" s="12"/>
    </row>
    <row r="9" spans="1:5" x14ac:dyDescent="0.25">
      <c r="C9" t="s">
        <v>80</v>
      </c>
    </row>
    <row r="10" spans="1:5" ht="18.75" x14ac:dyDescent="0.3">
      <c r="C10" s="7" t="s">
        <v>25</v>
      </c>
      <c r="D10" s="22" t="s">
        <v>34</v>
      </c>
    </row>
    <row r="11" spans="1:5" ht="18.75" x14ac:dyDescent="0.3">
      <c r="C11" s="7" t="s">
        <v>26</v>
      </c>
      <c r="D11" s="29">
        <v>640000</v>
      </c>
    </row>
    <row r="12" spans="1:5" ht="18.75" x14ac:dyDescent="0.3">
      <c r="C12" s="7" t="s">
        <v>27</v>
      </c>
      <c r="D12" s="22" t="s">
        <v>79</v>
      </c>
    </row>
    <row r="13" spans="1:5" x14ac:dyDescent="0.25">
      <c r="D13" s="21"/>
    </row>
    <row r="14" spans="1:5" x14ac:dyDescent="0.25">
      <c r="C14" t="s">
        <v>81</v>
      </c>
      <c r="D14" s="21"/>
    </row>
    <row r="15" spans="1:5" ht="18.75" x14ac:dyDescent="0.3">
      <c r="C15" s="7" t="s">
        <v>25</v>
      </c>
      <c r="D15" s="22" t="s">
        <v>40</v>
      </c>
    </row>
    <row r="16" spans="1:5" ht="18.75" x14ac:dyDescent="0.3">
      <c r="C16" s="7" t="s">
        <v>26</v>
      </c>
      <c r="D16" s="29">
        <v>60000</v>
      </c>
    </row>
    <row r="17" spans="3:8" ht="18.75" x14ac:dyDescent="0.3">
      <c r="C17" s="7" t="s">
        <v>27</v>
      </c>
      <c r="D17" s="22" t="s">
        <v>79</v>
      </c>
      <c r="H17" s="21"/>
    </row>
    <row r="18" spans="3:8" x14ac:dyDescent="0.25">
      <c r="D18" s="21"/>
    </row>
    <row r="19" spans="3:8" x14ac:dyDescent="0.25">
      <c r="C19" t="s">
        <v>82</v>
      </c>
      <c r="D19" s="21"/>
    </row>
    <row r="20" spans="3:8" ht="18.75" x14ac:dyDescent="0.3">
      <c r="C20" s="7" t="s">
        <v>25</v>
      </c>
      <c r="D20" s="22" t="s">
        <v>37</v>
      </c>
    </row>
    <row r="21" spans="3:8" ht="18.75" x14ac:dyDescent="0.3">
      <c r="C21" s="7" t="s">
        <v>26</v>
      </c>
      <c r="D21" s="29">
        <v>200</v>
      </c>
    </row>
    <row r="22" spans="3:8" ht="18.75" x14ac:dyDescent="0.3">
      <c r="C22" s="7" t="s">
        <v>27</v>
      </c>
      <c r="D22" s="22" t="s">
        <v>79</v>
      </c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ado o banco vinculado à lista" promptTitle="Informe o seu banco:" prompt="Informe o seu banco vinculado ao seu CPF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V30"/>
  <sheetViews>
    <sheetView showGridLines="0" tabSelected="1" topLeftCell="A6" zoomScale="80" zoomScaleNormal="80" workbookViewId="0">
      <selection activeCell="U11" sqref="U11"/>
    </sheetView>
  </sheetViews>
  <sheetFormatPr defaultRowHeight="15" x14ac:dyDescent="0.25"/>
  <cols>
    <col min="1" max="1" width="31" style="1" customWidth="1"/>
    <col min="3" max="4" width="58" style="10" customWidth="1"/>
    <col min="5" max="5" width="17" customWidth="1"/>
    <col min="12" max="12" width="12.7109375" bestFit="1" customWidth="1"/>
    <col min="14" max="14" width="12.7109375" bestFit="1" customWidth="1"/>
  </cols>
  <sheetData>
    <row r="1" spans="1:22" x14ac:dyDescent="0.25">
      <c r="A1" s="20" t="s">
        <v>93</v>
      </c>
    </row>
    <row r="3" spans="1:22" ht="20.25" thickBot="1" x14ac:dyDescent="0.35">
      <c r="C3" s="17" t="s">
        <v>84</v>
      </c>
      <c r="D3" s="17"/>
      <c r="E3" s="4"/>
    </row>
    <row r="4" spans="1:22" ht="16.5" thickTop="1" x14ac:dyDescent="0.25">
      <c r="C4" s="18" t="s">
        <v>85</v>
      </c>
      <c r="D4" s="19"/>
      <c r="E4" s="5"/>
    </row>
    <row r="7" spans="1:22" ht="18.75" x14ac:dyDescent="0.3">
      <c r="C7" s="15" t="s">
        <v>89</v>
      </c>
      <c r="D7" s="15"/>
      <c r="E7" s="15"/>
      <c r="U7" t="s">
        <v>90</v>
      </c>
      <c r="V7" s="16">
        <f>SUMIF(Tabela1[CATEGORIA],"HOLHEIRITE",Tabela1[VALOR])</f>
        <v>27216</v>
      </c>
    </row>
    <row r="8" spans="1:22" x14ac:dyDescent="0.25">
      <c r="C8" s="14" t="s">
        <v>86</v>
      </c>
      <c r="D8" s="14" t="s">
        <v>87</v>
      </c>
      <c r="E8" s="14" t="s">
        <v>88</v>
      </c>
      <c r="U8" t="s">
        <v>91</v>
      </c>
      <c r="V8" s="16">
        <f>SUMIF(Tabela1[CATEGORIA],"FREELANCER",Tabela1[VALOR])</f>
        <v>21608</v>
      </c>
    </row>
    <row r="9" spans="1:22" x14ac:dyDescent="0.25">
      <c r="C9" s="30">
        <v>46123</v>
      </c>
      <c r="D9" s="31" t="s">
        <v>90</v>
      </c>
      <c r="E9" s="32">
        <v>3000</v>
      </c>
      <c r="G9" s="2"/>
      <c r="U9" t="s">
        <v>92</v>
      </c>
      <c r="V9" s="16">
        <f>SUMIF(Tabela1[CATEGORIA],"CNPJ",Tabela1[VALOR])</f>
        <v>26639</v>
      </c>
    </row>
    <row r="10" spans="1:22" x14ac:dyDescent="0.25">
      <c r="C10" s="30">
        <v>46147</v>
      </c>
      <c r="D10" s="31" t="s">
        <v>91</v>
      </c>
      <c r="E10" s="32">
        <v>4540</v>
      </c>
    </row>
    <row r="11" spans="1:22" x14ac:dyDescent="0.25">
      <c r="C11" s="30">
        <v>46147</v>
      </c>
      <c r="D11" s="31" t="s">
        <v>90</v>
      </c>
      <c r="E11" s="32">
        <v>3465</v>
      </c>
    </row>
    <row r="12" spans="1:22" x14ac:dyDescent="0.25">
      <c r="C12" s="30">
        <v>46147</v>
      </c>
      <c r="D12" s="31" t="s">
        <v>92</v>
      </c>
      <c r="E12" s="32">
        <v>3936</v>
      </c>
    </row>
    <row r="13" spans="1:22" x14ac:dyDescent="0.25">
      <c r="C13" s="30">
        <v>46147</v>
      </c>
      <c r="D13" s="31" t="s">
        <v>91</v>
      </c>
      <c r="E13" s="32">
        <v>1356</v>
      </c>
    </row>
    <row r="14" spans="1:22" x14ac:dyDescent="0.25">
      <c r="C14" s="30">
        <v>46147</v>
      </c>
      <c r="D14" s="31" t="s">
        <v>91</v>
      </c>
      <c r="E14" s="32">
        <v>4617</v>
      </c>
    </row>
    <row r="15" spans="1:22" x14ac:dyDescent="0.25">
      <c r="C15" s="30">
        <v>46186</v>
      </c>
      <c r="D15" s="31" t="s">
        <v>90</v>
      </c>
      <c r="E15" s="32">
        <v>4526</v>
      </c>
    </row>
    <row r="16" spans="1:22" x14ac:dyDescent="0.25">
      <c r="C16" s="30">
        <v>46186</v>
      </c>
      <c r="D16" s="31" t="s">
        <v>92</v>
      </c>
      <c r="E16" s="32">
        <v>1750</v>
      </c>
      <c r="G16" s="21"/>
    </row>
    <row r="17" spans="3:5" x14ac:dyDescent="0.25">
      <c r="C17" s="30">
        <v>46186</v>
      </c>
      <c r="D17" s="31" t="s">
        <v>92</v>
      </c>
      <c r="E17" s="32">
        <v>4842</v>
      </c>
    </row>
    <row r="18" spans="3:5" x14ac:dyDescent="0.25">
      <c r="C18" s="30">
        <v>46186</v>
      </c>
      <c r="D18" s="31" t="s">
        <v>92</v>
      </c>
      <c r="E18" s="32">
        <v>4413</v>
      </c>
    </row>
    <row r="19" spans="3:5" x14ac:dyDescent="0.25">
      <c r="C19" s="30">
        <v>46186</v>
      </c>
      <c r="D19" s="31" t="s">
        <v>92</v>
      </c>
      <c r="E19" s="32">
        <v>2860</v>
      </c>
    </row>
    <row r="20" spans="3:5" x14ac:dyDescent="0.25">
      <c r="C20" s="30">
        <v>46207</v>
      </c>
      <c r="D20" s="31" t="s">
        <v>91</v>
      </c>
      <c r="E20" s="32">
        <v>4256</v>
      </c>
    </row>
    <row r="21" spans="3:5" x14ac:dyDescent="0.25">
      <c r="C21" s="30">
        <v>46207</v>
      </c>
      <c r="D21" s="31" t="s">
        <v>90</v>
      </c>
      <c r="E21" s="32">
        <v>3995</v>
      </c>
    </row>
    <row r="22" spans="3:5" x14ac:dyDescent="0.25">
      <c r="C22" s="30">
        <v>46207</v>
      </c>
      <c r="D22" s="31" t="s">
        <v>90</v>
      </c>
      <c r="E22" s="32">
        <v>3452</v>
      </c>
    </row>
    <row r="23" spans="3:5" x14ac:dyDescent="0.25">
      <c r="C23" s="30">
        <v>46207</v>
      </c>
      <c r="D23" s="31" t="s">
        <v>90</v>
      </c>
      <c r="E23" s="32">
        <v>1344</v>
      </c>
    </row>
    <row r="24" spans="3:5" x14ac:dyDescent="0.25">
      <c r="C24" s="30">
        <v>46207</v>
      </c>
      <c r="D24" s="31" t="s">
        <v>92</v>
      </c>
      <c r="E24" s="32">
        <v>1650</v>
      </c>
    </row>
    <row r="25" spans="3:5" x14ac:dyDescent="0.25">
      <c r="C25" s="30">
        <v>46207</v>
      </c>
      <c r="D25" s="31" t="s">
        <v>91</v>
      </c>
      <c r="E25" s="32">
        <v>3226</v>
      </c>
    </row>
    <row r="26" spans="3:5" x14ac:dyDescent="0.25">
      <c r="C26" s="30">
        <v>46241</v>
      </c>
      <c r="D26" s="31" t="s">
        <v>92</v>
      </c>
      <c r="E26" s="32">
        <v>2387</v>
      </c>
    </row>
    <row r="27" spans="3:5" x14ac:dyDescent="0.25">
      <c r="C27" s="30">
        <v>46241</v>
      </c>
      <c r="D27" s="31" t="s">
        <v>90</v>
      </c>
      <c r="E27" s="32">
        <v>3979</v>
      </c>
    </row>
    <row r="28" spans="3:5" x14ac:dyDescent="0.25">
      <c r="C28" s="30">
        <v>46241</v>
      </c>
      <c r="D28" s="31" t="s">
        <v>91</v>
      </c>
      <c r="E28" s="32">
        <v>3613</v>
      </c>
    </row>
    <row r="29" spans="3:5" x14ac:dyDescent="0.25">
      <c r="C29" s="30">
        <v>46241</v>
      </c>
      <c r="D29" s="31" t="s">
        <v>92</v>
      </c>
      <c r="E29" s="32">
        <v>4801</v>
      </c>
    </row>
    <row r="30" spans="3:5" x14ac:dyDescent="0.25">
      <c r="C30" s="30">
        <v>46241</v>
      </c>
      <c r="D30" s="31" t="s">
        <v>90</v>
      </c>
      <c r="E30" s="32">
        <v>3455</v>
      </c>
    </row>
  </sheetData>
  <sheetProtection selectLockedCells="1"/>
  <mergeCells count="1">
    <mergeCell ref="C7:E7"/>
  </mergeCells>
  <dataValidations count="1">
    <dataValidation type="list" allowBlank="1" showInputMessage="1" showErrorMessage="1" sqref="D9:D30">
      <formula1>"HOLHEIRITE,FREELANCER,CNPJ"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43" workbookViewId="0"/>
  </sheetViews>
  <sheetFormatPr defaultRowHeight="15" x14ac:dyDescent="0.25"/>
  <sheetData>
    <row r="1" spans="1:1" x14ac:dyDescent="0.25">
      <c r="A1" s="9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Milhomem Gomes</dc:creator>
  <cp:lastModifiedBy>Gabriella Milhomem Gomes</cp:lastModifiedBy>
  <dcterms:created xsi:type="dcterms:W3CDTF">2026-10-17T00:32:01Z</dcterms:created>
  <dcterms:modified xsi:type="dcterms:W3CDTF">2026-10-17T03:59:40Z</dcterms:modified>
</cp:coreProperties>
</file>